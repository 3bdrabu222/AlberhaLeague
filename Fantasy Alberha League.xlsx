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desk top\gp 2\FantasyAlberhaLeague\"/>
    </mc:Choice>
  </mc:AlternateContent>
  <xr:revisionPtr revIDLastSave="0" documentId="13_ncr:1_{A116CE17-68B2-451B-AAEE-A1A9731C5DC5}" xr6:coauthVersionLast="47" xr6:coauthVersionMax="47" xr10:uidLastSave="{00000000-0000-0000-0000-000000000000}"/>
  <bookViews>
    <workbookView xWindow="-120" yWindow="-120" windowWidth="29040" windowHeight="15720" xr2:uid="{ECAC3C5E-1951-4E06-8851-110719C176A7}"/>
  </bookViews>
  <sheets>
    <sheet name="Fantasy Alberha League" sheetId="1" r:id="rId1"/>
  </sheets>
  <definedNames>
    <definedName name="_xlnm._FilterDatabase" localSheetId="0" hidden="1">'Fantasy Alberha League'!$A$2:$AT$8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T8" i="1" l="1"/>
  <c r="AR8" i="1"/>
  <c r="AT7" i="1"/>
  <c r="AR7" i="1"/>
  <c r="AT6" i="1"/>
  <c r="AR6" i="1"/>
  <c r="AT5" i="1"/>
  <c r="AR5" i="1"/>
  <c r="AT4" i="1"/>
  <c r="AR4" i="1"/>
  <c r="AT3" i="1"/>
  <c r="AR3" i="1"/>
  <c r="AS6" i="1"/>
  <c r="AS7" i="1"/>
  <c r="AS4" i="1"/>
  <c r="AS5" i="1"/>
  <c r="AS8" i="1"/>
  <c r="AS3" i="1"/>
  <c r="B3" i="1" l="1"/>
  <c r="B7" i="1"/>
  <c r="B5" i="1"/>
  <c r="B6" i="1"/>
  <c r="B8" i="1"/>
  <c r="B4" i="1"/>
</calcChain>
</file>

<file path=xl/sharedStrings.xml><?xml version="1.0" encoding="utf-8"?>
<sst xmlns="http://schemas.openxmlformats.org/spreadsheetml/2006/main" count="187" uniqueCount="47">
  <si>
    <t>Rank</t>
  </si>
  <si>
    <t>Team Name</t>
  </si>
  <si>
    <t>Team Owner</t>
  </si>
  <si>
    <t>The dark passenger</t>
  </si>
  <si>
    <t>Aemn</t>
  </si>
  <si>
    <t>Ahmed Alshre'e</t>
  </si>
  <si>
    <t>The fool</t>
  </si>
  <si>
    <t>Marvelous Team</t>
  </si>
  <si>
    <t>Jupa 34</t>
  </si>
  <si>
    <t>Ahmed Salah</t>
  </si>
  <si>
    <t>Ayman Mohammed</t>
  </si>
  <si>
    <t>Ahmed Mohammed</t>
  </si>
  <si>
    <t>Osama Mohammed</t>
  </si>
  <si>
    <t>Abdurabu Saleh</t>
  </si>
  <si>
    <t>Saad Saleh</t>
  </si>
  <si>
    <t>Non</t>
  </si>
  <si>
    <t>ID</t>
  </si>
  <si>
    <t>INFORMATION SECTION</t>
  </si>
  <si>
    <t>TOTALS</t>
  </si>
  <si>
    <t>Wildcard</t>
  </si>
  <si>
    <t>Free Hit</t>
  </si>
  <si>
    <t>Bench Boost</t>
  </si>
  <si>
    <t>First Half</t>
  </si>
  <si>
    <t>Second Half</t>
  </si>
  <si>
    <t xml:space="preserve">Non </t>
  </si>
  <si>
    <t>Points</t>
  </si>
  <si>
    <t>Properties</t>
  </si>
  <si>
    <t>Negatives</t>
  </si>
  <si>
    <t>Total Negatives</t>
  </si>
  <si>
    <t>Total Points without Negatives</t>
  </si>
  <si>
    <t>Total Points</t>
  </si>
  <si>
    <t>Gameweek 1</t>
  </si>
  <si>
    <t>Gameweek 2</t>
  </si>
  <si>
    <t>Gameweek 3</t>
  </si>
  <si>
    <t>Gameweek 4</t>
  </si>
  <si>
    <t>Gameweek 5</t>
  </si>
  <si>
    <t>Gameweek 6</t>
  </si>
  <si>
    <t>Gameweek 7</t>
  </si>
  <si>
    <t>Gameweek 8</t>
  </si>
  <si>
    <t>Gameweek 9</t>
  </si>
  <si>
    <t>Gameweek 10</t>
  </si>
  <si>
    <t>Gameweek 11</t>
  </si>
  <si>
    <t>Gameweek 12</t>
  </si>
  <si>
    <t>Gameweek 13</t>
  </si>
  <si>
    <t>Gameweek</t>
  </si>
  <si>
    <t xml:space="preserve">Triple Captain </t>
  </si>
  <si>
    <t>Wild 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</si>
</sst>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b/>
      <sz val="12"/>
      <color theme="0"/>
      <name val="Aptos Narrow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3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5" fillId="11" borderId="1" xfId="0" applyFont="1" applyFill="1" applyBorder="1" applyAlignment="1">
      <alignment horizontal="center"/>
    </xf>
    <xf numFmtId="0" fontId="6" fillId="12" borderId="1" xfId="0" applyFont="1" applyFill="1" applyBorder="1" applyAlignment="1">
      <alignment horizontal="center"/>
    </xf>
    <xf numFmtId="0" fontId="1" fillId="14" borderId="1" xfId="0" applyFont="1" applyFill="1" applyBorder="1" applyAlignment="1">
      <alignment horizontal="center"/>
    </xf>
    <xf numFmtId="0" fontId="3" fillId="14" borderId="1" xfId="0" applyFont="1" applyFill="1" applyBorder="1" applyAlignment="1">
      <alignment horizontal="center"/>
    </xf>
    <xf numFmtId="0" fontId="5" fillId="15" borderId="1" xfId="0" applyFont="1" applyFill="1" applyBorder="1" applyAlignment="1">
      <alignment horizontal="center"/>
    </xf>
    <xf numFmtId="0" fontId="5" fillId="19" borderId="1" xfId="0" applyFont="1" applyFill="1" applyBorder="1" applyAlignment="1">
      <alignment horizontal="center"/>
    </xf>
    <xf numFmtId="0" fontId="5" fillId="24" borderId="1" xfId="0" applyFont="1" applyFill="1" applyBorder="1" applyAlignment="1">
      <alignment horizontal="center"/>
    </xf>
    <xf numFmtId="0" fontId="5" fillId="21" borderId="1" xfId="0" applyFont="1" applyFill="1" applyBorder="1" applyAlignment="1">
      <alignment horizontal="center"/>
    </xf>
    <xf numFmtId="0" fontId="5" fillId="25" borderId="1" xfId="0" applyFont="1" applyFill="1" applyBorder="1" applyAlignment="1">
      <alignment horizontal="center"/>
    </xf>
    <xf numFmtId="0" fontId="5" fillId="18" borderId="1" xfId="0" applyFont="1" applyFill="1" applyBorder="1" applyAlignment="1">
      <alignment horizontal="center"/>
    </xf>
    <xf numFmtId="0" fontId="5" fillId="26" borderId="1" xfId="0" applyFont="1" applyFill="1" applyBorder="1" applyAlignment="1">
      <alignment horizontal="center"/>
    </xf>
    <xf numFmtId="0" fontId="0" fillId="21" borderId="1" xfId="0" applyFill="1" applyBorder="1" applyAlignment="1">
      <alignment horizontal="center"/>
    </xf>
    <xf numFmtId="0" fontId="0" fillId="23" borderId="1" xfId="0" applyFill="1" applyBorder="1" applyAlignment="1">
      <alignment horizontal="center"/>
    </xf>
    <xf numFmtId="0" fontId="0" fillId="17" borderId="1" xfId="0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1" fillId="20" borderId="1" xfId="0" applyFont="1" applyFill="1" applyBorder="1" applyAlignment="1">
      <alignment horizontal="center"/>
    </xf>
    <xf numFmtId="0" fontId="1" fillId="22" borderId="1" xfId="0" applyFont="1" applyFill="1" applyBorder="1" applyAlignment="1">
      <alignment horizontal="center"/>
    </xf>
    <xf numFmtId="0" fontId="0" fillId="19" borderId="2" xfId="0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0" fillId="19" borderId="4" xfId="0" applyFill="1" applyBorder="1" applyAlignment="1">
      <alignment horizontal="center"/>
    </xf>
    <xf numFmtId="0" fontId="1" fillId="16" borderId="1" xfId="0" applyFont="1" applyFill="1" applyBorder="1" applyAlignment="1">
      <alignment horizontal="center"/>
    </xf>
    <xf numFmtId="0" fontId="1" fillId="18" borderId="1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4" fillId="13" borderId="2" xfId="0" applyFont="1" applyFill="1" applyBorder="1" applyAlignment="1">
      <alignment horizontal="center"/>
    </xf>
    <xf numFmtId="0" fontId="4" fillId="13" borderId="3" xfId="0" applyFont="1" applyFill="1" applyBorder="1" applyAlignment="1">
      <alignment horizontal="center"/>
    </xf>
    <xf numFmtId="0" fontId="4" fillId="13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5444F-61CD-4F89-B499-13E7DA671D6A}">
  <dimension ref="A1:AU24"/>
  <sheetViews>
    <sheetView tabSelected="1" topLeftCell="H6" zoomScale="160" zoomScaleNormal="160" workbookViewId="0">
      <selection activeCell="AC18" sqref="AC18:AF18"/>
    </sheetView>
  </sheetViews>
  <sheetFormatPr defaultRowHeight="15" x14ac:dyDescent="0.25"/>
  <cols>
    <col min="1" max="1" width="8.140625" customWidth="1"/>
    <col min="2" max="2" width="8.85546875" customWidth="1"/>
    <col min="3" max="3" width="20.140625" customWidth="1"/>
    <col min="4" max="4" width="17.7109375" customWidth="1"/>
    <col min="5" max="5" width="11.7109375" customWidth="1"/>
    <col min="6" max="6" width="12.140625" customWidth="1"/>
    <col min="7" max="7" width="19.42578125" customWidth="1"/>
    <col min="8" max="8" width="12.42578125" customWidth="1"/>
    <col min="9" max="9" width="17.85546875" customWidth="1"/>
    <col min="10" max="10" width="14" customWidth="1"/>
    <col min="11" max="11" width="8.7109375" customWidth="1"/>
    <col min="12" max="12" width="13.7109375" customWidth="1"/>
    <col min="13" max="13" width="11" customWidth="1"/>
    <col min="14" max="14" width="10.140625" customWidth="1"/>
    <col min="15" max="15" width="16.5703125" customWidth="1"/>
    <col min="16" max="16" width="18.28515625" customWidth="1"/>
    <col min="17" max="17" width="4" customWidth="1"/>
    <col min="18" max="18" width="14.5703125" customWidth="1"/>
    <col min="19" max="19" width="13.7109375" customWidth="1"/>
    <col min="20" max="20" width="11.5703125" customWidth="1"/>
    <col min="21" max="21" width="13.28515625" customWidth="1"/>
    <col min="22" max="22" width="14" customWidth="1"/>
    <col min="23" max="23" width="9.140625" customWidth="1"/>
    <col min="24" max="24" width="11.85546875" customWidth="1"/>
    <col min="25" max="25" width="14.28515625" customWidth="1"/>
    <col min="26" max="26" width="8.7109375" customWidth="1"/>
    <col min="27" max="27" width="12.28515625" customWidth="1"/>
    <col min="28" max="28" width="12" customWidth="1"/>
    <col min="29" max="29" width="9.85546875" customWidth="1"/>
    <col min="30" max="30" width="14.7109375" customWidth="1"/>
    <col min="31" max="31" width="10.5703125" customWidth="1"/>
    <col min="32" max="32" width="10" customWidth="1"/>
    <col min="33" max="33" width="12.5703125" customWidth="1"/>
    <col min="34" max="34" width="11.42578125" customWidth="1"/>
    <col min="35" max="35" width="8.28515625" customWidth="1"/>
    <col min="36" max="36" width="11.42578125" customWidth="1"/>
    <col min="37" max="37" width="12.42578125" customWidth="1"/>
    <col min="38" max="38" width="9.42578125" customWidth="1"/>
    <col min="39" max="39" width="10.7109375" customWidth="1"/>
    <col min="40" max="40" width="10.85546875" customWidth="1"/>
    <col min="41" max="41" width="7.28515625" customWidth="1"/>
    <col min="42" max="42" width="10.85546875" customWidth="1"/>
    <col min="43" max="43" width="13.42578125" customWidth="1"/>
    <col min="44" max="44" width="17.140625" customWidth="1"/>
    <col min="45" max="45" width="34" customWidth="1"/>
    <col min="46" max="46" width="15" customWidth="1"/>
  </cols>
  <sheetData>
    <row r="1" spans="1:47" x14ac:dyDescent="0.25">
      <c r="A1" s="43" t="s">
        <v>17</v>
      </c>
      <c r="B1" s="44"/>
      <c r="C1" s="44"/>
      <c r="D1" s="45"/>
      <c r="E1" s="34" t="s">
        <v>31</v>
      </c>
      <c r="F1" s="39"/>
      <c r="G1" s="40"/>
      <c r="H1" s="34" t="s">
        <v>32</v>
      </c>
      <c r="I1" s="41"/>
      <c r="J1" s="42"/>
      <c r="K1" s="34" t="s">
        <v>33</v>
      </c>
      <c r="L1" s="35"/>
      <c r="M1" s="36"/>
      <c r="N1" s="34" t="s">
        <v>34</v>
      </c>
      <c r="O1" s="35"/>
      <c r="P1" s="36"/>
      <c r="Q1" s="34" t="s">
        <v>35</v>
      </c>
      <c r="R1" s="35"/>
      <c r="S1" s="36"/>
      <c r="T1" s="34" t="s">
        <v>36</v>
      </c>
      <c r="U1" s="35"/>
      <c r="V1" s="36"/>
      <c r="W1" s="34" t="s">
        <v>37</v>
      </c>
      <c r="X1" s="35"/>
      <c r="Y1" s="36"/>
      <c r="Z1" s="34" t="s">
        <v>38</v>
      </c>
      <c r="AA1" s="35"/>
      <c r="AB1" s="36"/>
      <c r="AC1" s="34" t="s">
        <v>39</v>
      </c>
      <c r="AD1" s="35"/>
      <c r="AE1" s="36"/>
      <c r="AF1" s="34" t="s">
        <v>40</v>
      </c>
      <c r="AG1" s="35"/>
      <c r="AH1" s="36"/>
      <c r="AI1" s="34" t="s">
        <v>41</v>
      </c>
      <c r="AJ1" s="35"/>
      <c r="AK1" s="36"/>
      <c r="AL1" s="34" t="s">
        <v>42</v>
      </c>
      <c r="AM1" s="35"/>
      <c r="AN1" s="36"/>
      <c r="AO1" s="34" t="s">
        <v>43</v>
      </c>
      <c r="AP1" s="35"/>
      <c r="AQ1" s="36"/>
      <c r="AR1" s="37" t="s">
        <v>18</v>
      </c>
      <c r="AS1" s="38"/>
      <c r="AT1" s="38"/>
      <c r="AU1" s="1"/>
    </row>
    <row r="2" spans="1:47" s="1" customFormat="1" ht="15.75" x14ac:dyDescent="0.25">
      <c r="A2" s="13" t="s">
        <v>16</v>
      </c>
      <c r="B2" s="14" t="s">
        <v>0</v>
      </c>
      <c r="C2" s="14" t="s">
        <v>1</v>
      </c>
      <c r="D2" s="14" t="s">
        <v>2</v>
      </c>
      <c r="E2" s="2" t="s">
        <v>25</v>
      </c>
      <c r="F2" s="2" t="s">
        <v>26</v>
      </c>
      <c r="G2" s="2" t="s">
        <v>27</v>
      </c>
      <c r="H2" s="2" t="s">
        <v>25</v>
      </c>
      <c r="I2" s="2" t="s">
        <v>26</v>
      </c>
      <c r="J2" s="2" t="s">
        <v>27</v>
      </c>
      <c r="K2" s="2" t="s">
        <v>25</v>
      </c>
      <c r="L2" s="2" t="s">
        <v>26</v>
      </c>
      <c r="M2" s="2" t="s">
        <v>27</v>
      </c>
      <c r="N2" s="2" t="s">
        <v>25</v>
      </c>
      <c r="O2" s="2" t="s">
        <v>26</v>
      </c>
      <c r="P2" s="2" t="s">
        <v>27</v>
      </c>
      <c r="Q2" s="2" t="s">
        <v>25</v>
      </c>
      <c r="R2" s="2" t="s">
        <v>26</v>
      </c>
      <c r="S2" s="2" t="s">
        <v>27</v>
      </c>
      <c r="T2" s="2" t="s">
        <v>25</v>
      </c>
      <c r="U2" s="2" t="s">
        <v>26</v>
      </c>
      <c r="V2" s="2" t="s">
        <v>27</v>
      </c>
      <c r="W2" s="2" t="s">
        <v>25</v>
      </c>
      <c r="X2" s="2" t="s">
        <v>26</v>
      </c>
      <c r="Y2" s="2" t="s">
        <v>27</v>
      </c>
      <c r="Z2" s="2" t="s">
        <v>25</v>
      </c>
      <c r="AA2" s="2" t="s">
        <v>26</v>
      </c>
      <c r="AB2" s="2" t="s">
        <v>27</v>
      </c>
      <c r="AC2" s="2" t="s">
        <v>25</v>
      </c>
      <c r="AD2" s="2" t="s">
        <v>26</v>
      </c>
      <c r="AE2" s="2" t="s">
        <v>27</v>
      </c>
      <c r="AF2" s="2" t="s">
        <v>25</v>
      </c>
      <c r="AG2" s="2" t="s">
        <v>26</v>
      </c>
      <c r="AH2" s="2" t="s">
        <v>27</v>
      </c>
      <c r="AI2" s="2" t="s">
        <v>25</v>
      </c>
      <c r="AJ2" s="2" t="s">
        <v>26</v>
      </c>
      <c r="AK2" s="2" t="s">
        <v>27</v>
      </c>
      <c r="AL2" s="2" t="s">
        <v>25</v>
      </c>
      <c r="AM2" s="2" t="s">
        <v>26</v>
      </c>
      <c r="AN2" s="2" t="s">
        <v>27</v>
      </c>
      <c r="AO2" s="2" t="s">
        <v>25</v>
      </c>
      <c r="AP2" s="2" t="s">
        <v>26</v>
      </c>
      <c r="AQ2" s="2" t="s">
        <v>27</v>
      </c>
      <c r="AR2" s="12" t="s">
        <v>28</v>
      </c>
      <c r="AS2" s="12" t="s">
        <v>29</v>
      </c>
      <c r="AT2" s="12" t="s">
        <v>30</v>
      </c>
    </row>
    <row r="3" spans="1:47" x14ac:dyDescent="0.25">
      <c r="A3" s="3">
        <v>10732</v>
      </c>
      <c r="B3" s="3">
        <f t="shared" ref="B3:B8" si="0">_xlfn.RANK.EQ(AT3,$AT$3:$AT$8,0)</f>
        <v>1</v>
      </c>
      <c r="C3" s="3" t="s">
        <v>5</v>
      </c>
      <c r="D3" s="3" t="s">
        <v>11</v>
      </c>
      <c r="E3" s="4">
        <v>68</v>
      </c>
      <c r="F3" s="4" t="s">
        <v>15</v>
      </c>
      <c r="G3" s="4">
        <v>0</v>
      </c>
      <c r="H3" s="5">
        <v>46</v>
      </c>
      <c r="I3" s="5" t="s">
        <v>15</v>
      </c>
      <c r="J3" s="5">
        <v>0</v>
      </c>
      <c r="K3" s="8">
        <v>36</v>
      </c>
      <c r="L3" s="8" t="s">
        <v>15</v>
      </c>
      <c r="M3" s="8">
        <v>-4</v>
      </c>
      <c r="N3" s="6">
        <v>68</v>
      </c>
      <c r="O3" s="6" t="s">
        <v>15</v>
      </c>
      <c r="P3" s="6">
        <v>-4</v>
      </c>
      <c r="Q3" s="7">
        <v>49</v>
      </c>
      <c r="R3" s="7" t="s">
        <v>15</v>
      </c>
      <c r="S3" s="7">
        <v>0</v>
      </c>
      <c r="T3" s="11">
        <v>75</v>
      </c>
      <c r="U3" s="11" t="s">
        <v>15</v>
      </c>
      <c r="V3" s="11">
        <v>0</v>
      </c>
      <c r="W3" s="15">
        <v>59</v>
      </c>
      <c r="X3" s="15" t="s">
        <v>15</v>
      </c>
      <c r="Y3" s="15">
        <v>0</v>
      </c>
      <c r="Z3" s="16">
        <v>72</v>
      </c>
      <c r="AA3" s="16" t="s">
        <v>46</v>
      </c>
      <c r="AB3" s="16">
        <v>0</v>
      </c>
      <c r="AC3" s="17">
        <v>48</v>
      </c>
      <c r="AD3" s="17" t="s">
        <v>15</v>
      </c>
      <c r="AE3" s="17">
        <v>0</v>
      </c>
      <c r="AF3" s="18">
        <v>64</v>
      </c>
      <c r="AG3" s="18" t="s">
        <v>21</v>
      </c>
      <c r="AH3" s="18">
        <v>-4</v>
      </c>
      <c r="AI3" s="19">
        <v>43</v>
      </c>
      <c r="AJ3" s="19" t="s">
        <v>20</v>
      </c>
      <c r="AK3" s="19">
        <v>0</v>
      </c>
      <c r="AL3" s="20">
        <v>65</v>
      </c>
      <c r="AM3" s="20" t="s">
        <v>15</v>
      </c>
      <c r="AN3" s="20">
        <v>0</v>
      </c>
      <c r="AO3" s="21">
        <v>48</v>
      </c>
      <c r="AP3" s="21" t="s">
        <v>24</v>
      </c>
      <c r="AQ3" s="21">
        <v>-8</v>
      </c>
      <c r="AR3" s="9">
        <f t="shared" ref="AR3:AR8" si="1">SUM(G3,J3,M3,P3,S3,V3,Y3,AB3,AE3,AH3,AK3,AN3,AQ3)</f>
        <v>-20</v>
      </c>
      <c r="AS3" s="9">
        <f t="shared" ref="AS3:AS8" si="2">SUM(E3,H3,K3,N3,Q3,T3,W3,Z3,AC3,AF3,AI3,AL3,AO3)</f>
        <v>741</v>
      </c>
      <c r="AT3" s="10">
        <f t="shared" ref="AT3:AT8" si="3">SUM(E3,G3,J3,H3,K3,M3,N3,P3,Q3,S3,T3,V3,W3,Y3,Z3,AB3,AC3,AE3,AF3,AH3,AI3,AK3,AN3,AL3,AQ3,AO3)</f>
        <v>721</v>
      </c>
    </row>
    <row r="4" spans="1:47" x14ac:dyDescent="0.25">
      <c r="A4" s="3">
        <v>18840</v>
      </c>
      <c r="B4" s="3">
        <f t="shared" si="0"/>
        <v>2</v>
      </c>
      <c r="C4" s="3" t="s">
        <v>6</v>
      </c>
      <c r="D4" s="3" t="s">
        <v>12</v>
      </c>
      <c r="E4" s="4">
        <v>76</v>
      </c>
      <c r="F4" s="4" t="s">
        <v>15</v>
      </c>
      <c r="G4" s="4">
        <v>0</v>
      </c>
      <c r="H4" s="5">
        <v>53</v>
      </c>
      <c r="I4" s="5" t="s">
        <v>15</v>
      </c>
      <c r="J4" s="5">
        <v>-16</v>
      </c>
      <c r="K4" s="8">
        <v>48</v>
      </c>
      <c r="L4" s="8" t="s">
        <v>15</v>
      </c>
      <c r="M4" s="8">
        <v>-4</v>
      </c>
      <c r="N4" s="6">
        <v>61</v>
      </c>
      <c r="O4" s="6" t="s">
        <v>15</v>
      </c>
      <c r="P4" s="6">
        <v>0</v>
      </c>
      <c r="Q4" s="7">
        <v>38</v>
      </c>
      <c r="R4" s="7" t="s">
        <v>15</v>
      </c>
      <c r="S4" s="7">
        <v>-4</v>
      </c>
      <c r="T4" s="11">
        <v>58</v>
      </c>
      <c r="U4" s="11" t="s">
        <v>15</v>
      </c>
      <c r="V4" s="11">
        <v>-4</v>
      </c>
      <c r="W4" s="15">
        <v>68</v>
      </c>
      <c r="X4" s="15" t="s">
        <v>15</v>
      </c>
      <c r="Y4" s="15">
        <v>-4</v>
      </c>
      <c r="Z4" s="16">
        <v>63</v>
      </c>
      <c r="AA4" s="16" t="s">
        <v>15</v>
      </c>
      <c r="AB4" s="16">
        <v>-4</v>
      </c>
      <c r="AC4" s="17">
        <v>57</v>
      </c>
      <c r="AD4" s="17" t="s">
        <v>46</v>
      </c>
      <c r="AE4" s="17">
        <v>0</v>
      </c>
      <c r="AF4" s="18">
        <v>74</v>
      </c>
      <c r="AG4" s="18" t="s">
        <v>15</v>
      </c>
      <c r="AH4" s="18">
        <v>0</v>
      </c>
      <c r="AI4" s="19">
        <v>42</v>
      </c>
      <c r="AJ4" s="19" t="s">
        <v>15</v>
      </c>
      <c r="AK4" s="19">
        <v>0</v>
      </c>
      <c r="AL4" s="20">
        <v>59</v>
      </c>
      <c r="AM4" s="20" t="s">
        <v>21</v>
      </c>
      <c r="AN4" s="20">
        <v>-8</v>
      </c>
      <c r="AO4" s="21">
        <v>67</v>
      </c>
      <c r="AP4" s="21" t="s">
        <v>20</v>
      </c>
      <c r="AQ4" s="21">
        <v>0</v>
      </c>
      <c r="AR4" s="9">
        <f t="shared" si="1"/>
        <v>-44</v>
      </c>
      <c r="AS4" s="9">
        <f t="shared" si="2"/>
        <v>764</v>
      </c>
      <c r="AT4" s="10">
        <f t="shared" si="3"/>
        <v>720</v>
      </c>
    </row>
    <row r="5" spans="1:47" x14ac:dyDescent="0.25">
      <c r="A5" s="3">
        <v>65276</v>
      </c>
      <c r="B5" s="3">
        <f t="shared" si="0"/>
        <v>3</v>
      </c>
      <c r="C5" s="3" t="s">
        <v>8</v>
      </c>
      <c r="D5" s="3" t="s">
        <v>14</v>
      </c>
      <c r="E5" s="4">
        <v>48</v>
      </c>
      <c r="F5" s="4" t="s">
        <v>15</v>
      </c>
      <c r="G5" s="4">
        <v>0</v>
      </c>
      <c r="H5" s="5">
        <v>67</v>
      </c>
      <c r="I5" s="5" t="s">
        <v>15</v>
      </c>
      <c r="J5" s="5">
        <v>-4</v>
      </c>
      <c r="K5" s="8">
        <v>52</v>
      </c>
      <c r="L5" s="8" t="s">
        <v>15</v>
      </c>
      <c r="M5" s="8">
        <v>-4</v>
      </c>
      <c r="N5" s="6">
        <v>58</v>
      </c>
      <c r="O5" s="6" t="s">
        <v>15</v>
      </c>
      <c r="P5" s="6">
        <v>-4</v>
      </c>
      <c r="Q5" s="7">
        <v>30</v>
      </c>
      <c r="R5" s="7" t="s">
        <v>15</v>
      </c>
      <c r="S5" s="7">
        <v>-4</v>
      </c>
      <c r="T5" s="11">
        <v>63</v>
      </c>
      <c r="U5" s="11" t="s">
        <v>21</v>
      </c>
      <c r="V5" s="11">
        <v>-4</v>
      </c>
      <c r="W5" s="15">
        <v>66</v>
      </c>
      <c r="X5" s="15" t="s">
        <v>15</v>
      </c>
      <c r="Y5" s="15">
        <v>-4</v>
      </c>
      <c r="Z5" s="16">
        <v>73</v>
      </c>
      <c r="AA5" s="16" t="s">
        <v>15</v>
      </c>
      <c r="AB5" s="16">
        <v>0</v>
      </c>
      <c r="AC5" s="17">
        <v>78</v>
      </c>
      <c r="AD5" s="17" t="s">
        <v>15</v>
      </c>
      <c r="AE5" s="17">
        <v>-4</v>
      </c>
      <c r="AF5" s="18">
        <v>68</v>
      </c>
      <c r="AG5" s="18" t="s">
        <v>46</v>
      </c>
      <c r="AH5" s="18">
        <v>0</v>
      </c>
      <c r="AI5" s="19">
        <v>30</v>
      </c>
      <c r="AJ5" s="19" t="s">
        <v>15</v>
      </c>
      <c r="AK5" s="19">
        <v>-4</v>
      </c>
      <c r="AL5" s="20">
        <v>45</v>
      </c>
      <c r="AM5" s="20" t="s">
        <v>15</v>
      </c>
      <c r="AN5" s="20">
        <v>-4</v>
      </c>
      <c r="AO5" s="21">
        <v>72</v>
      </c>
      <c r="AP5" s="21" t="s">
        <v>20</v>
      </c>
      <c r="AQ5" s="21">
        <v>0</v>
      </c>
      <c r="AR5" s="9">
        <f t="shared" si="1"/>
        <v>-36</v>
      </c>
      <c r="AS5" s="9">
        <f t="shared" si="2"/>
        <v>750</v>
      </c>
      <c r="AT5" s="10">
        <f t="shared" si="3"/>
        <v>714</v>
      </c>
    </row>
    <row r="6" spans="1:47" x14ac:dyDescent="0.25">
      <c r="A6" s="3">
        <v>44162</v>
      </c>
      <c r="B6" s="3">
        <f t="shared" si="0"/>
        <v>4</v>
      </c>
      <c r="C6" s="3" t="s">
        <v>3</v>
      </c>
      <c r="D6" s="9" t="s">
        <v>9</v>
      </c>
      <c r="E6" s="4">
        <v>76</v>
      </c>
      <c r="F6" s="4" t="s">
        <v>21</v>
      </c>
      <c r="G6" s="4">
        <v>0</v>
      </c>
      <c r="H6" s="5">
        <v>63</v>
      </c>
      <c r="I6" s="5" t="s">
        <v>15</v>
      </c>
      <c r="J6" s="5">
        <v>0</v>
      </c>
      <c r="K6" s="8">
        <v>43</v>
      </c>
      <c r="L6" s="8" t="s">
        <v>15</v>
      </c>
      <c r="M6" s="8">
        <v>-4</v>
      </c>
      <c r="N6" s="6">
        <v>76</v>
      </c>
      <c r="O6" s="6" t="s">
        <v>15</v>
      </c>
      <c r="P6" s="6">
        <v>-4</v>
      </c>
      <c r="Q6" s="7">
        <v>32</v>
      </c>
      <c r="R6" s="7" t="s">
        <v>15</v>
      </c>
      <c r="S6" s="7">
        <v>0</v>
      </c>
      <c r="T6" s="11">
        <v>59</v>
      </c>
      <c r="U6" s="11" t="s">
        <v>15</v>
      </c>
      <c r="V6" s="11">
        <v>-4</v>
      </c>
      <c r="W6" s="15">
        <v>71</v>
      </c>
      <c r="X6" s="15" t="s">
        <v>15</v>
      </c>
      <c r="Y6" s="15">
        <v>0</v>
      </c>
      <c r="Z6" s="16">
        <v>62</v>
      </c>
      <c r="AA6" s="16" t="s">
        <v>15</v>
      </c>
      <c r="AB6" s="16">
        <v>-4</v>
      </c>
      <c r="AC6" s="17">
        <v>38</v>
      </c>
      <c r="AD6" s="17" t="s">
        <v>46</v>
      </c>
      <c r="AE6" s="17">
        <v>0</v>
      </c>
      <c r="AF6" s="18">
        <v>57</v>
      </c>
      <c r="AG6" s="18" t="s">
        <v>15</v>
      </c>
      <c r="AH6" s="18">
        <v>0</v>
      </c>
      <c r="AI6" s="19">
        <v>54</v>
      </c>
      <c r="AJ6" s="19" t="s">
        <v>15</v>
      </c>
      <c r="AK6" s="19">
        <v>0</v>
      </c>
      <c r="AL6" s="20">
        <v>46</v>
      </c>
      <c r="AM6" s="20" t="s">
        <v>15</v>
      </c>
      <c r="AN6" s="20">
        <v>0</v>
      </c>
      <c r="AO6" s="21">
        <v>47</v>
      </c>
      <c r="AP6" s="21" t="s">
        <v>20</v>
      </c>
      <c r="AQ6" s="21">
        <v>0</v>
      </c>
      <c r="AR6" s="9">
        <f t="shared" si="1"/>
        <v>-16</v>
      </c>
      <c r="AS6" s="9">
        <f t="shared" si="2"/>
        <v>724</v>
      </c>
      <c r="AT6" s="10">
        <f t="shared" si="3"/>
        <v>708</v>
      </c>
    </row>
    <row r="7" spans="1:47" x14ac:dyDescent="0.25">
      <c r="A7" s="3">
        <v>97322</v>
      </c>
      <c r="B7" s="3">
        <f t="shared" si="0"/>
        <v>5</v>
      </c>
      <c r="C7" s="3" t="s">
        <v>4</v>
      </c>
      <c r="D7" s="3" t="s">
        <v>10</v>
      </c>
      <c r="E7" s="4">
        <v>58</v>
      </c>
      <c r="F7" s="4" t="s">
        <v>15</v>
      </c>
      <c r="G7" s="4">
        <v>0</v>
      </c>
      <c r="H7" s="5">
        <v>52</v>
      </c>
      <c r="I7" s="5" t="s">
        <v>15</v>
      </c>
      <c r="J7" s="5">
        <v>-4</v>
      </c>
      <c r="K7" s="8">
        <v>57</v>
      </c>
      <c r="L7" s="8" t="s">
        <v>15</v>
      </c>
      <c r="M7" s="8">
        <v>-4</v>
      </c>
      <c r="N7" s="6">
        <v>62</v>
      </c>
      <c r="O7" s="6" t="s">
        <v>46</v>
      </c>
      <c r="P7" s="6">
        <v>0</v>
      </c>
      <c r="Q7" s="7">
        <v>61</v>
      </c>
      <c r="R7" s="7" t="s">
        <v>15</v>
      </c>
      <c r="S7" s="7">
        <v>-4</v>
      </c>
      <c r="T7" s="11">
        <v>57</v>
      </c>
      <c r="U7" s="11" t="s">
        <v>15</v>
      </c>
      <c r="V7" s="11">
        <v>-8</v>
      </c>
      <c r="W7" s="15">
        <v>70</v>
      </c>
      <c r="X7" s="15" t="s">
        <v>15</v>
      </c>
      <c r="Y7" s="15">
        <v>0</v>
      </c>
      <c r="Z7" s="16">
        <v>67</v>
      </c>
      <c r="AA7" s="16" t="s">
        <v>15</v>
      </c>
      <c r="AB7" s="16">
        <v>0</v>
      </c>
      <c r="AC7" s="17">
        <v>46</v>
      </c>
      <c r="AD7" s="17" t="s">
        <v>15</v>
      </c>
      <c r="AE7" s="17">
        <v>-8</v>
      </c>
      <c r="AF7" s="18">
        <v>72</v>
      </c>
      <c r="AG7" s="18" t="s">
        <v>15</v>
      </c>
      <c r="AH7" s="18">
        <v>0</v>
      </c>
      <c r="AI7" s="19">
        <v>36</v>
      </c>
      <c r="AJ7" s="19" t="s">
        <v>15</v>
      </c>
      <c r="AK7" s="19">
        <v>0</v>
      </c>
      <c r="AL7" s="20">
        <v>55</v>
      </c>
      <c r="AM7" s="20" t="s">
        <v>15</v>
      </c>
      <c r="AN7" s="20">
        <v>-4</v>
      </c>
      <c r="AO7" s="21">
        <v>30</v>
      </c>
      <c r="AP7" s="21" t="s">
        <v>45</v>
      </c>
      <c r="AQ7" s="21">
        <v>0</v>
      </c>
      <c r="AR7" s="9">
        <f t="shared" si="1"/>
        <v>-32</v>
      </c>
      <c r="AS7" s="9">
        <f t="shared" si="2"/>
        <v>723</v>
      </c>
      <c r="AT7" s="10">
        <f t="shared" si="3"/>
        <v>691</v>
      </c>
    </row>
    <row r="8" spans="1:47" x14ac:dyDescent="0.25">
      <c r="A8" s="3">
        <v>45377</v>
      </c>
      <c r="B8" s="3">
        <f t="shared" si="0"/>
        <v>6</v>
      </c>
      <c r="C8" s="3" t="s">
        <v>7</v>
      </c>
      <c r="D8" s="3" t="s">
        <v>13</v>
      </c>
      <c r="E8" s="4">
        <v>57</v>
      </c>
      <c r="F8" s="4" t="s">
        <v>15</v>
      </c>
      <c r="G8" s="4">
        <v>0</v>
      </c>
      <c r="H8" s="5">
        <v>49</v>
      </c>
      <c r="I8" s="5" t="s">
        <v>15</v>
      </c>
      <c r="J8" s="5">
        <v>0</v>
      </c>
      <c r="K8" s="8">
        <v>45</v>
      </c>
      <c r="L8" s="8" t="s">
        <v>15</v>
      </c>
      <c r="M8" s="8">
        <v>-12</v>
      </c>
      <c r="N8" s="6">
        <v>63</v>
      </c>
      <c r="O8" s="6" t="s">
        <v>15</v>
      </c>
      <c r="P8" s="6">
        <v>0</v>
      </c>
      <c r="Q8" s="7">
        <v>44</v>
      </c>
      <c r="R8" s="7" t="s">
        <v>15</v>
      </c>
      <c r="S8" s="7">
        <v>-4</v>
      </c>
      <c r="T8" s="11">
        <v>22</v>
      </c>
      <c r="U8" s="11" t="s">
        <v>15</v>
      </c>
      <c r="V8" s="11">
        <v>0</v>
      </c>
      <c r="W8" s="15">
        <v>56</v>
      </c>
      <c r="X8" s="15" t="s">
        <v>46</v>
      </c>
      <c r="Y8" s="15">
        <v>0</v>
      </c>
      <c r="Z8" s="16">
        <v>49</v>
      </c>
      <c r="AA8" s="16" t="s">
        <v>21</v>
      </c>
      <c r="AB8" s="16">
        <v>0</v>
      </c>
      <c r="AC8" s="17">
        <v>64</v>
      </c>
      <c r="AD8" s="17" t="s">
        <v>15</v>
      </c>
      <c r="AE8" s="17">
        <v>0</v>
      </c>
      <c r="AF8" s="18">
        <v>89</v>
      </c>
      <c r="AG8" s="18" t="s">
        <v>15</v>
      </c>
      <c r="AH8" s="18">
        <v>0</v>
      </c>
      <c r="AI8" s="19">
        <v>26</v>
      </c>
      <c r="AJ8" s="19" t="s">
        <v>15</v>
      </c>
      <c r="AK8" s="19">
        <v>0</v>
      </c>
      <c r="AL8" s="20">
        <v>52</v>
      </c>
      <c r="AM8" s="20" t="s">
        <v>20</v>
      </c>
      <c r="AN8" s="20">
        <v>0</v>
      </c>
      <c r="AO8" s="21">
        <v>26</v>
      </c>
      <c r="AP8" s="21" t="s">
        <v>45</v>
      </c>
      <c r="AQ8" s="21">
        <v>-8</v>
      </c>
      <c r="AR8" s="9">
        <f t="shared" si="1"/>
        <v>-24</v>
      </c>
      <c r="AS8" s="9">
        <f t="shared" si="2"/>
        <v>642</v>
      </c>
      <c r="AT8" s="10">
        <f t="shared" si="3"/>
        <v>618</v>
      </c>
    </row>
    <row r="10" spans="1:47" x14ac:dyDescent="0.25">
      <c r="H10" s="33" t="s">
        <v>22</v>
      </c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W10" s="33" t="s">
        <v>23</v>
      </c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</row>
    <row r="11" spans="1:47" x14ac:dyDescent="0.25">
      <c r="H11" s="31" t="s">
        <v>19</v>
      </c>
      <c r="I11" s="31"/>
      <c r="J11" s="31"/>
      <c r="K11" s="31"/>
      <c r="L11" s="31" t="s">
        <v>44</v>
      </c>
      <c r="M11" s="31"/>
      <c r="N11" s="32" t="s">
        <v>20</v>
      </c>
      <c r="O11" s="32"/>
      <c r="P11" s="32"/>
      <c r="Q11" s="32"/>
      <c r="R11" s="32" t="s">
        <v>44</v>
      </c>
      <c r="S11" s="32"/>
      <c r="W11" s="31" t="s">
        <v>19</v>
      </c>
      <c r="X11" s="31"/>
      <c r="Y11" s="31"/>
      <c r="Z11" s="31"/>
      <c r="AA11" s="31" t="s">
        <v>44</v>
      </c>
      <c r="AB11" s="31"/>
      <c r="AC11" s="32" t="s">
        <v>20</v>
      </c>
      <c r="AD11" s="32"/>
      <c r="AE11" s="32"/>
      <c r="AF11" s="32"/>
      <c r="AG11" s="32" t="s">
        <v>44</v>
      </c>
      <c r="AH11" s="32"/>
    </row>
    <row r="12" spans="1:47" x14ac:dyDescent="0.25">
      <c r="H12" s="24" t="s">
        <v>10</v>
      </c>
      <c r="I12" s="24"/>
      <c r="J12" s="24"/>
      <c r="K12" s="24"/>
      <c r="L12" s="24">
        <v>4</v>
      </c>
      <c r="M12" s="24"/>
      <c r="N12" s="25" t="s">
        <v>11</v>
      </c>
      <c r="O12" s="25"/>
      <c r="P12" s="25"/>
      <c r="Q12" s="25"/>
      <c r="R12" s="25">
        <v>11</v>
      </c>
      <c r="S12" s="25"/>
      <c r="W12" s="24"/>
      <c r="X12" s="24"/>
      <c r="Y12" s="24"/>
      <c r="Z12" s="24"/>
      <c r="AA12" s="24"/>
      <c r="AB12" s="24"/>
      <c r="AC12" s="25"/>
      <c r="AD12" s="25"/>
      <c r="AE12" s="25"/>
      <c r="AF12" s="25"/>
      <c r="AG12" s="25"/>
      <c r="AH12" s="25"/>
    </row>
    <row r="13" spans="1:47" x14ac:dyDescent="0.25">
      <c r="H13" s="24" t="s">
        <v>13</v>
      </c>
      <c r="I13" s="24"/>
      <c r="J13" s="24"/>
      <c r="K13" s="24"/>
      <c r="L13" s="24">
        <v>7</v>
      </c>
      <c r="M13" s="24"/>
      <c r="N13" s="25" t="s">
        <v>13</v>
      </c>
      <c r="O13" s="25"/>
      <c r="P13" s="25"/>
      <c r="Q13" s="25"/>
      <c r="R13" s="25">
        <v>12</v>
      </c>
      <c r="S13" s="25"/>
      <c r="W13" s="24"/>
      <c r="X13" s="24"/>
      <c r="Y13" s="24"/>
      <c r="Z13" s="24"/>
      <c r="AA13" s="24"/>
      <c r="AB13" s="24"/>
      <c r="AC13" s="28"/>
      <c r="AD13" s="29"/>
      <c r="AE13" s="29"/>
      <c r="AF13" s="30"/>
      <c r="AG13" s="25"/>
      <c r="AH13" s="25"/>
    </row>
    <row r="14" spans="1:47" x14ac:dyDescent="0.25">
      <c r="H14" s="24" t="s">
        <v>11</v>
      </c>
      <c r="I14" s="24"/>
      <c r="J14" s="24"/>
      <c r="K14" s="24"/>
      <c r="L14" s="24">
        <v>8</v>
      </c>
      <c r="M14" s="24"/>
      <c r="N14" s="25" t="s">
        <v>12</v>
      </c>
      <c r="O14" s="25"/>
      <c r="P14" s="25"/>
      <c r="Q14" s="25"/>
      <c r="R14" s="25">
        <v>13</v>
      </c>
      <c r="S14" s="25"/>
      <c r="W14" s="24"/>
      <c r="X14" s="24"/>
      <c r="Y14" s="24"/>
      <c r="Z14" s="24"/>
      <c r="AA14" s="24"/>
      <c r="AB14" s="24"/>
      <c r="AC14" s="25"/>
      <c r="AD14" s="25"/>
      <c r="AE14" s="25"/>
      <c r="AF14" s="25"/>
      <c r="AG14" s="25"/>
      <c r="AH14" s="25"/>
    </row>
    <row r="15" spans="1:47" x14ac:dyDescent="0.25">
      <c r="H15" s="24" t="s">
        <v>9</v>
      </c>
      <c r="I15" s="24"/>
      <c r="J15" s="24"/>
      <c r="K15" s="24"/>
      <c r="L15" s="24">
        <v>9</v>
      </c>
      <c r="M15" s="24"/>
      <c r="N15" s="25" t="s">
        <v>14</v>
      </c>
      <c r="O15" s="25"/>
      <c r="P15" s="25"/>
      <c r="Q15" s="25"/>
      <c r="R15" s="25">
        <v>13</v>
      </c>
      <c r="S15" s="25"/>
      <c r="W15" s="24"/>
      <c r="X15" s="24"/>
      <c r="Y15" s="24"/>
      <c r="Z15" s="24"/>
      <c r="AA15" s="24"/>
      <c r="AB15" s="24"/>
      <c r="AC15" s="25"/>
      <c r="AD15" s="25"/>
      <c r="AE15" s="25"/>
      <c r="AF15" s="25"/>
      <c r="AG15" s="25"/>
      <c r="AH15" s="25"/>
    </row>
    <row r="16" spans="1:47" x14ac:dyDescent="0.25">
      <c r="H16" s="24" t="s">
        <v>12</v>
      </c>
      <c r="I16" s="24"/>
      <c r="J16" s="24"/>
      <c r="K16" s="24"/>
      <c r="L16" s="24">
        <v>9</v>
      </c>
      <c r="M16" s="24"/>
      <c r="N16" s="25" t="s">
        <v>9</v>
      </c>
      <c r="O16" s="25"/>
      <c r="P16" s="25"/>
      <c r="Q16" s="25"/>
      <c r="R16" s="25">
        <v>13</v>
      </c>
      <c r="S16" s="25"/>
      <c r="W16" s="24"/>
      <c r="X16" s="24"/>
      <c r="Y16" s="24"/>
      <c r="Z16" s="24"/>
      <c r="AA16" s="24"/>
      <c r="AB16" s="24"/>
      <c r="AC16" s="25"/>
      <c r="AD16" s="25"/>
      <c r="AE16" s="25"/>
      <c r="AF16" s="25"/>
      <c r="AG16" s="25"/>
      <c r="AH16" s="25"/>
    </row>
    <row r="17" spans="8:34" x14ac:dyDescent="0.25">
      <c r="H17" s="24" t="s">
        <v>14</v>
      </c>
      <c r="I17" s="24"/>
      <c r="J17" s="24"/>
      <c r="K17" s="24"/>
      <c r="L17" s="24">
        <v>10</v>
      </c>
      <c r="M17" s="24"/>
      <c r="N17" s="25"/>
      <c r="O17" s="25"/>
      <c r="P17" s="25"/>
      <c r="Q17" s="25"/>
      <c r="R17" s="25"/>
      <c r="S17" s="25"/>
      <c r="W17" s="24"/>
      <c r="X17" s="24"/>
      <c r="Y17" s="24"/>
      <c r="Z17" s="24"/>
      <c r="AA17" s="24"/>
      <c r="AB17" s="24"/>
      <c r="AC17" s="25"/>
      <c r="AD17" s="25"/>
      <c r="AE17" s="25"/>
      <c r="AF17" s="25"/>
      <c r="AG17" s="25"/>
      <c r="AH17" s="25"/>
    </row>
    <row r="18" spans="8:34" x14ac:dyDescent="0.25">
      <c r="H18" s="26" t="s">
        <v>21</v>
      </c>
      <c r="I18" s="26"/>
      <c r="J18" s="26"/>
      <c r="K18" s="26"/>
      <c r="L18" s="26" t="s">
        <v>44</v>
      </c>
      <c r="M18" s="26"/>
      <c r="N18" s="27" t="s">
        <v>45</v>
      </c>
      <c r="O18" s="27"/>
      <c r="P18" s="27"/>
      <c r="Q18" s="27"/>
      <c r="R18" s="27" t="s">
        <v>44</v>
      </c>
      <c r="S18" s="27"/>
      <c r="W18" s="26" t="s">
        <v>21</v>
      </c>
      <c r="X18" s="26"/>
      <c r="Y18" s="26"/>
      <c r="Z18" s="26"/>
      <c r="AA18" s="26" t="s">
        <v>44</v>
      </c>
      <c r="AB18" s="26"/>
      <c r="AC18" s="27" t="s">
        <v>45</v>
      </c>
      <c r="AD18" s="27"/>
      <c r="AE18" s="27"/>
      <c r="AF18" s="27"/>
      <c r="AG18" s="27" t="s">
        <v>44</v>
      </c>
      <c r="AH18" s="27"/>
    </row>
    <row r="19" spans="8:34" x14ac:dyDescent="0.25">
      <c r="H19" s="22" t="s">
        <v>9</v>
      </c>
      <c r="I19" s="22"/>
      <c r="J19" s="22"/>
      <c r="K19" s="22"/>
      <c r="L19" s="22">
        <v>1</v>
      </c>
      <c r="M19" s="22"/>
      <c r="N19" s="23" t="s">
        <v>10</v>
      </c>
      <c r="O19" s="23"/>
      <c r="P19" s="23"/>
      <c r="Q19" s="23"/>
      <c r="R19" s="23">
        <v>13</v>
      </c>
      <c r="S19" s="23"/>
      <c r="W19" s="22"/>
      <c r="X19" s="22"/>
      <c r="Y19" s="22"/>
      <c r="Z19" s="22"/>
      <c r="AA19" s="22"/>
      <c r="AB19" s="22"/>
      <c r="AC19" s="23"/>
      <c r="AD19" s="23"/>
      <c r="AE19" s="23"/>
      <c r="AF19" s="23"/>
      <c r="AG19" s="23"/>
      <c r="AH19" s="23"/>
    </row>
    <row r="20" spans="8:34" x14ac:dyDescent="0.25">
      <c r="H20" s="22" t="s">
        <v>14</v>
      </c>
      <c r="I20" s="22"/>
      <c r="J20" s="22"/>
      <c r="K20" s="22"/>
      <c r="L20" s="22">
        <v>6</v>
      </c>
      <c r="M20" s="22"/>
      <c r="N20" s="23" t="s">
        <v>13</v>
      </c>
      <c r="O20" s="23"/>
      <c r="P20" s="23"/>
      <c r="Q20" s="23"/>
      <c r="R20" s="23">
        <v>13</v>
      </c>
      <c r="S20" s="23"/>
      <c r="W20" s="22"/>
      <c r="X20" s="22"/>
      <c r="Y20" s="22"/>
      <c r="Z20" s="22"/>
      <c r="AA20" s="22"/>
      <c r="AB20" s="22"/>
      <c r="AC20" s="23"/>
      <c r="AD20" s="23"/>
      <c r="AE20" s="23"/>
      <c r="AF20" s="23"/>
      <c r="AG20" s="23"/>
      <c r="AH20" s="23"/>
    </row>
    <row r="21" spans="8:34" x14ac:dyDescent="0.25">
      <c r="H21" s="22" t="s">
        <v>13</v>
      </c>
      <c r="I21" s="22"/>
      <c r="J21" s="22"/>
      <c r="K21" s="22"/>
      <c r="L21" s="22">
        <v>8</v>
      </c>
      <c r="M21" s="22"/>
      <c r="N21" s="23"/>
      <c r="O21" s="23"/>
      <c r="P21" s="23"/>
      <c r="Q21" s="23"/>
      <c r="R21" s="23"/>
      <c r="S21" s="23"/>
      <c r="W21" s="22"/>
      <c r="X21" s="22"/>
      <c r="Y21" s="22"/>
      <c r="Z21" s="22"/>
      <c r="AA21" s="22"/>
      <c r="AB21" s="22"/>
      <c r="AC21" s="23"/>
      <c r="AD21" s="23"/>
      <c r="AE21" s="23"/>
      <c r="AF21" s="23"/>
      <c r="AG21" s="23"/>
      <c r="AH21" s="23"/>
    </row>
    <row r="22" spans="8:34" x14ac:dyDescent="0.25">
      <c r="H22" s="22" t="s">
        <v>11</v>
      </c>
      <c r="I22" s="22"/>
      <c r="J22" s="22"/>
      <c r="K22" s="22"/>
      <c r="L22" s="22">
        <v>10</v>
      </c>
      <c r="M22" s="22"/>
      <c r="N22" s="23"/>
      <c r="O22" s="23"/>
      <c r="P22" s="23"/>
      <c r="Q22" s="23"/>
      <c r="R22" s="23"/>
      <c r="S22" s="23"/>
      <c r="W22" s="22"/>
      <c r="X22" s="22"/>
      <c r="Y22" s="22"/>
      <c r="Z22" s="22"/>
      <c r="AA22" s="22"/>
      <c r="AB22" s="22"/>
      <c r="AC22" s="23"/>
      <c r="AD22" s="23"/>
      <c r="AE22" s="23"/>
      <c r="AF22" s="23"/>
      <c r="AG22" s="23"/>
      <c r="AH22" s="23"/>
    </row>
    <row r="23" spans="8:34" x14ac:dyDescent="0.25">
      <c r="H23" s="22" t="s">
        <v>12</v>
      </c>
      <c r="I23" s="22"/>
      <c r="J23" s="22"/>
      <c r="K23" s="22"/>
      <c r="L23" s="22">
        <v>12</v>
      </c>
      <c r="M23" s="22"/>
      <c r="N23" s="23"/>
      <c r="O23" s="23"/>
      <c r="P23" s="23"/>
      <c r="Q23" s="23"/>
      <c r="R23" s="23"/>
      <c r="S23" s="23"/>
      <c r="W23" s="22"/>
      <c r="X23" s="22"/>
      <c r="Y23" s="22"/>
      <c r="Z23" s="22"/>
      <c r="AA23" s="22"/>
      <c r="AB23" s="22"/>
      <c r="AC23" s="23"/>
      <c r="AD23" s="23"/>
      <c r="AE23" s="23"/>
      <c r="AF23" s="23"/>
      <c r="AG23" s="23"/>
      <c r="AH23" s="23"/>
    </row>
    <row r="24" spans="8:34" x14ac:dyDescent="0.25">
      <c r="H24" s="22"/>
      <c r="I24" s="22"/>
      <c r="J24" s="22"/>
      <c r="K24" s="22"/>
      <c r="L24" s="22"/>
      <c r="M24" s="22"/>
      <c r="N24" s="23"/>
      <c r="O24" s="23"/>
      <c r="P24" s="23"/>
      <c r="Q24" s="23"/>
      <c r="R24" s="23"/>
      <c r="S24" s="23"/>
      <c r="W24" s="22"/>
      <c r="X24" s="22"/>
      <c r="Y24" s="22"/>
      <c r="Z24" s="22"/>
      <c r="AA24" s="22"/>
      <c r="AB24" s="22"/>
      <c r="AC24" s="23"/>
      <c r="AD24" s="23"/>
      <c r="AE24" s="23"/>
      <c r="AF24" s="23"/>
      <c r="AG24" s="23"/>
      <c r="AH24" s="23"/>
    </row>
  </sheetData>
  <sortState xmlns:xlrd2="http://schemas.microsoft.com/office/spreadsheetml/2017/richdata2" ref="A3:AT8">
    <sortCondition ref="B2:B8"/>
  </sortState>
  <mergeCells count="129">
    <mergeCell ref="H24:K24"/>
    <mergeCell ref="L24:M24"/>
    <mergeCell ref="N18:Q18"/>
    <mergeCell ref="R18:S18"/>
    <mergeCell ref="N19:Q19"/>
    <mergeCell ref="R19:S19"/>
    <mergeCell ref="N20:Q20"/>
    <mergeCell ref="R20:S20"/>
    <mergeCell ref="N21:Q21"/>
    <mergeCell ref="R21:S21"/>
    <mergeCell ref="N22:Q22"/>
    <mergeCell ref="R22:S22"/>
    <mergeCell ref="N23:Q23"/>
    <mergeCell ref="R23:S23"/>
    <mergeCell ref="N24:Q24"/>
    <mergeCell ref="R24:S24"/>
    <mergeCell ref="H21:K21"/>
    <mergeCell ref="L21:M21"/>
    <mergeCell ref="H22:K22"/>
    <mergeCell ref="L22:M22"/>
    <mergeCell ref="H23:K23"/>
    <mergeCell ref="L23:M23"/>
    <mergeCell ref="H18:K18"/>
    <mergeCell ref="L18:M18"/>
    <mergeCell ref="H19:K19"/>
    <mergeCell ref="L19:M19"/>
    <mergeCell ref="H20:K20"/>
    <mergeCell ref="L20:M20"/>
    <mergeCell ref="L17:M17"/>
    <mergeCell ref="N11:Q11"/>
    <mergeCell ref="R11:S11"/>
    <mergeCell ref="N12:Q12"/>
    <mergeCell ref="R12:S12"/>
    <mergeCell ref="N13:Q13"/>
    <mergeCell ref="R13:S13"/>
    <mergeCell ref="N14:Q14"/>
    <mergeCell ref="R14:S14"/>
    <mergeCell ref="N15:Q15"/>
    <mergeCell ref="R15:S15"/>
    <mergeCell ref="N16:Q16"/>
    <mergeCell ref="R16:S16"/>
    <mergeCell ref="N17:Q17"/>
    <mergeCell ref="R17:S17"/>
    <mergeCell ref="H11:K11"/>
    <mergeCell ref="L11:M11"/>
    <mergeCell ref="H12:K12"/>
    <mergeCell ref="H13:K13"/>
    <mergeCell ref="H14:K14"/>
    <mergeCell ref="H15:K15"/>
    <mergeCell ref="H16:K16"/>
    <mergeCell ref="H17:K17"/>
    <mergeCell ref="L12:M12"/>
    <mergeCell ref="L13:M13"/>
    <mergeCell ref="L14:M14"/>
    <mergeCell ref="L15:M15"/>
    <mergeCell ref="L16:M16"/>
    <mergeCell ref="A1:D1"/>
    <mergeCell ref="Z1:AB1"/>
    <mergeCell ref="H10:S10"/>
    <mergeCell ref="AR1:AT1"/>
    <mergeCell ref="E1:G1"/>
    <mergeCell ref="H1:J1"/>
    <mergeCell ref="K1:M1"/>
    <mergeCell ref="N1:P1"/>
    <mergeCell ref="Q1:S1"/>
    <mergeCell ref="T1:V1"/>
    <mergeCell ref="W1:Y1"/>
    <mergeCell ref="AC1:AE1"/>
    <mergeCell ref="AF1:AH1"/>
    <mergeCell ref="AI1:AK1"/>
    <mergeCell ref="AL1:AN1"/>
    <mergeCell ref="AO1:AQ1"/>
    <mergeCell ref="W11:Z11"/>
    <mergeCell ref="AA11:AB11"/>
    <mergeCell ref="AC11:AF11"/>
    <mergeCell ref="AG11:AH11"/>
    <mergeCell ref="W12:Z12"/>
    <mergeCell ref="AA12:AB12"/>
    <mergeCell ref="AC12:AF12"/>
    <mergeCell ref="AG12:AH12"/>
    <mergeCell ref="W10:AH10"/>
    <mergeCell ref="W13:Z13"/>
    <mergeCell ref="AA13:AB13"/>
    <mergeCell ref="AC13:AF13"/>
    <mergeCell ref="AG13:AH13"/>
    <mergeCell ref="W14:Z14"/>
    <mergeCell ref="AA14:AB14"/>
    <mergeCell ref="AC14:AF14"/>
    <mergeCell ref="AG14:AH14"/>
    <mergeCell ref="W15:Z15"/>
    <mergeCell ref="AA15:AB15"/>
    <mergeCell ref="AC15:AF15"/>
    <mergeCell ref="AG15:AH15"/>
    <mergeCell ref="W16:Z16"/>
    <mergeCell ref="AA16:AB16"/>
    <mergeCell ref="AC16:AF16"/>
    <mergeCell ref="AG16:AH16"/>
    <mergeCell ref="W17:Z17"/>
    <mergeCell ref="AA17:AB17"/>
    <mergeCell ref="AC17:AF17"/>
    <mergeCell ref="AG17:AH17"/>
    <mergeCell ref="W18:Z18"/>
    <mergeCell ref="AA18:AB18"/>
    <mergeCell ref="AC18:AF18"/>
    <mergeCell ref="AG18:AH18"/>
    <mergeCell ref="W19:Z19"/>
    <mergeCell ref="AA19:AB19"/>
    <mergeCell ref="AC19:AF19"/>
    <mergeCell ref="AG19:AH19"/>
    <mergeCell ref="W20:Z20"/>
    <mergeCell ref="AA20:AB20"/>
    <mergeCell ref="AC20:AF20"/>
    <mergeCell ref="AG20:AH20"/>
    <mergeCell ref="W21:Z21"/>
    <mergeCell ref="AA21:AB21"/>
    <mergeCell ref="AC21:AF21"/>
    <mergeCell ref="AG21:AH21"/>
    <mergeCell ref="W22:Z22"/>
    <mergeCell ref="AA22:AB22"/>
    <mergeCell ref="AC22:AF22"/>
    <mergeCell ref="AG22:AH22"/>
    <mergeCell ref="W23:Z23"/>
    <mergeCell ref="AA23:AB23"/>
    <mergeCell ref="AC23:AF23"/>
    <mergeCell ref="AG23:AH23"/>
    <mergeCell ref="W24:Z24"/>
    <mergeCell ref="AA24:AB24"/>
    <mergeCell ref="AC24:AF24"/>
    <mergeCell ref="AG24:AH24"/>
  </mergeCells>
  <pageMargins left="0.7" right="0.7" top="0.75" bottom="0.75" header="0.3" footer="0.3"/>
  <pageSetup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516640FC4B0949A82948FFB78904A9" ma:contentTypeVersion="6" ma:contentTypeDescription="Create a new document." ma:contentTypeScope="" ma:versionID="faaea8d10b98b3b159f8eb0a87f5b39e">
  <xsd:schema xmlns:xsd="http://www.w3.org/2001/XMLSchema" xmlns:xs="http://www.w3.org/2001/XMLSchema" xmlns:p="http://schemas.microsoft.com/office/2006/metadata/properties" xmlns:ns3="428ee458-1eb4-4738-84d2-8c9b31a45d71" targetNamespace="http://schemas.microsoft.com/office/2006/metadata/properties" ma:root="true" ma:fieldsID="e561688716c2aa0cab0cd714134692f2" ns3:_="">
    <xsd:import namespace="428ee458-1eb4-4738-84d2-8c9b31a45d7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8ee458-1eb4-4738-84d2-8c9b31a45d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BD1F551-D10A-4429-8791-C85C8942F96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8ee458-1eb4-4738-84d2-8c9b31a45d7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4C3D88D-3B07-40CE-9868-088AC14F2A28}">
  <ds:schemaRefs>
    <ds:schemaRef ds:uri="http://www.w3.org/XML/1998/namespace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dcmitype/"/>
    <ds:schemaRef ds:uri="http://purl.org/dc/terms/"/>
    <ds:schemaRef ds:uri="428ee458-1eb4-4738-84d2-8c9b31a45d71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C84DC251-0EC1-4DE5-86BE-BBAF2360261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Fantasy Alberha League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ABDURABU SALEH ABDURABU ABDULLAH</dc:creator>
  <cp:lastModifiedBy>Abdurabu Saleh</cp:lastModifiedBy>
  <dcterms:created xsi:type="dcterms:W3CDTF">2025-09-24T10:31:44Z</dcterms:created>
  <dcterms:modified xsi:type="dcterms:W3CDTF">2025-12-01T18:30:44Z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0x0101008B516640FC4B0949A82948FFB78904A9</vt:lpwstr>
  </property>
</Properties>
</file>